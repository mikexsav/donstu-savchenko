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irusmeta/laba3/"/>
    </mc:Choice>
  </mc:AlternateContent>
  <xr:revisionPtr revIDLastSave="0" documentId="8_{57E4300A-F179-F742-91C0-534DEC9665FD}" xr6:coauthVersionLast="47" xr6:coauthVersionMax="47" xr10:uidLastSave="{00000000-0000-0000-0000-000000000000}"/>
  <bookViews>
    <workbookView xWindow="0" yWindow="660" windowWidth="30240" windowHeight="16960" xr2:uid="{00000000-000D-0000-FFFF-FFFF00000000}"/>
  </bookViews>
  <sheets>
    <sheet name="Вариант 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C18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C20" i="1" s="1"/>
</calcChain>
</file>

<file path=xl/sharedStrings.xml><?xml version="1.0" encoding="utf-8"?>
<sst xmlns="http://schemas.openxmlformats.org/spreadsheetml/2006/main" count="25" uniqueCount="25">
  <si>
    <t>Лабораторная №3 · Excel · Вариант 6</t>
  </si>
  <si>
    <t>Расчёт электроэнергии по ступенчатому тарифу</t>
  </si>
  <si>
    <t>Клиент</t>
  </si>
  <si>
    <t>Потребление, кВт·ч</t>
  </si>
  <si>
    <t>Оплата, руб.</t>
  </si>
  <si>
    <t>Тарифная группа</t>
  </si>
  <si>
    <t>Клиент 1</t>
  </si>
  <si>
    <t>Клиент 2</t>
  </si>
  <si>
    <t>Клиент 3</t>
  </si>
  <si>
    <t>Клиент 4</t>
  </si>
  <si>
    <t>Клиент 5</t>
  </si>
  <si>
    <t>Клиент 6</t>
  </si>
  <si>
    <t>Клиент 7</t>
  </si>
  <si>
    <t>Клиент 8</t>
  </si>
  <si>
    <t>Клиент 9</t>
  </si>
  <si>
    <t>Клиент 10</t>
  </si>
  <si>
    <t>Клиентов свыше 1000 кВт·ч</t>
  </si>
  <si>
    <t>Суммарное потребление, кВт·ч</t>
  </si>
  <si>
    <t>Общая сумма платежей, руб.</t>
  </si>
  <si>
    <t>Тариф</t>
  </si>
  <si>
    <t>Диапазон потребления</t>
  </si>
  <si>
    <t>Цена, руб./кВт·ч</t>
  </si>
  <si>
    <t>Первые 500 кВт·ч</t>
  </si>
  <si>
    <t>Следующие 500 кВт·ч</t>
  </si>
  <si>
    <t>Свыше 1000 кВт·ч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</si>
</sst>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sz val="11"/>
      <color rgb="FF253344"/>
      <name val="Arial"/>
    </font>
    <font>
      <b/>
      <sz val="15"/>
      <color rgb="FF172A45"/>
      <name val="Arial"/>
    </font>
    <font>
      <i/>
      <sz val="11"/>
      <color rgb="FF66758A"/>
      <name val="Arial"/>
    </font>
    <font>
      <sz val="11"/>
      <name val="Carlito"/>
    </font>
    <font>
      <b/>
      <sz val="14"/>
      <color rgb="FFFFFFFF"/>
      <name val="Arial"/>
      <family val="2"/>
    </font>
    <font>
      <sz val="14"/>
      <color rgb="FF253344"/>
      <name val="Arial"/>
      <family val="2"/>
    </font>
    <font>
      <b/>
      <sz val="14"/>
      <color rgb="FF263F5C"/>
      <name val="Arial"/>
      <family val="2"/>
    </font>
    <font>
      <i/>
      <sz val="14"/>
      <color rgb="FF66758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63F5C"/>
      </patternFill>
    </fill>
    <fill>
      <patternFill patternType="solid">
        <fgColor rgb="FFECF4FB"/>
      </patternFill>
    </fill>
    <fill>
      <patternFill patternType="solid">
        <fgColor rgb="FFE9F0F7"/>
      </patternFill>
    </fill>
    <fill>
      <patternFill patternType="solid">
        <fgColor rgb="FFD3E9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1" fillId="0" borderId="0" xfId="1" applyFont="1"/>
    <xf numFmtId="0" fontId="5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3" fontId="6" fillId="3" borderId="1" xfId="1" applyNumberFormat="1" applyFont="1" applyFill="1" applyBorder="1" applyAlignment="1">
      <alignment horizontal="center" vertical="center"/>
    </xf>
    <xf numFmtId="3" fontId="1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6" fillId="5" borderId="1" xfId="1" applyNumberFormat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3" fontId="6" fillId="0" borderId="0" xfId="1" applyNumberFormat="1" applyFont="1" applyAlignment="1">
      <alignment horizontal="center" vertical="center"/>
    </xf>
    <xf numFmtId="0" fontId="7" fillId="4" borderId="1" xfId="1" applyFont="1" applyFill="1" applyBorder="1" applyAlignment="1">
      <alignment horizontal="center" vertical="center"/>
    </xf>
    <xf numFmtId="3" fontId="7" fillId="4" borderId="1" xfId="1" applyNumberFormat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</cellXfs>
  <cellStyles count="2">
    <cellStyle name="Обычный" xfId="0" builtinId="0"/>
    <cellStyle name="Normal" xfId="1" xr:uid="{00000000-0005-0000-0000-000000000000}"/>
  </cellStyles>
  <dxfs count="0"/>
  <tableStyles count="0" defaultTableStyle="TableStyleMedium2" defaultPivotStyle="PivotStyleLight16"/>
  <colors>
    <mruColors>
      <color rgb="FFD3E9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>
                <a:latin typeface="Arial"/>
                <a:ea typeface="Arial"/>
                <a:cs typeface="Arial"/>
              </a:rPr>
              <a:t>Потребление электроэнергии по клиентам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Потребление, кВт·ч</c:v>
          </c:tx>
          <c:invertIfNegative val="0"/>
          <c:cat>
            <c:strRef>
              <c:f>'Вариант 6'!$B$6:$B$15</c:f>
              <c:strCache>
                <c:ptCount val="10"/>
                <c:pt idx="0">
                  <c:v>Клиент 1</c:v>
                </c:pt>
                <c:pt idx="1">
                  <c:v>Клиент 2</c:v>
                </c:pt>
                <c:pt idx="2">
                  <c:v>Клиент 3</c:v>
                </c:pt>
                <c:pt idx="3">
                  <c:v>Клиент 4</c:v>
                </c:pt>
                <c:pt idx="4">
                  <c:v>Клиент 5</c:v>
                </c:pt>
                <c:pt idx="5">
                  <c:v>Клиент 6</c:v>
                </c:pt>
                <c:pt idx="6">
                  <c:v>Клиент 7</c:v>
                </c:pt>
                <c:pt idx="7">
                  <c:v>Клиент 8</c:v>
                </c:pt>
                <c:pt idx="8">
                  <c:v>Клиент 9</c:v>
                </c:pt>
                <c:pt idx="9">
                  <c:v>Клиент 10</c:v>
                </c:pt>
              </c:strCache>
            </c:strRef>
          </c:cat>
          <c:val>
            <c:numRef>
              <c:f>'Вариант 6'!$C$6:$C$15</c:f>
              <c:numCache>
                <c:formatCode>#,##0</c:formatCode>
                <c:ptCount val="10"/>
                <c:pt idx="0">
                  <c:v>320</c:v>
                </c:pt>
                <c:pt idx="1">
                  <c:v>480</c:v>
                </c:pt>
                <c:pt idx="2">
                  <c:v>500</c:v>
                </c:pt>
                <c:pt idx="3">
                  <c:v>620</c:v>
                </c:pt>
                <c:pt idx="4">
                  <c:v>750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1350</c:v>
                </c:pt>
                <c:pt idx="9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5-F84A-8319-C8C3C42C3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63F5C"/>
  </sheetPr>
  <dimension ref="B2:Q30"/>
  <sheetViews>
    <sheetView showGridLines="0" tabSelected="1" workbookViewId="0">
      <selection activeCell="E5" sqref="E5"/>
    </sheetView>
  </sheetViews>
  <sheetFormatPr baseColWidth="10" defaultColWidth="8.83203125" defaultRowHeight="15"/>
  <cols>
    <col min="2" max="2" width="45" style="9" customWidth="1"/>
    <col min="3" max="3" width="28.33203125" style="9" customWidth="1"/>
    <col min="4" max="4" width="23" style="9" customWidth="1"/>
    <col min="5" max="5" width="25.83203125" style="9" customWidth="1"/>
    <col min="6" max="6" width="3" customWidth="1"/>
    <col min="7" max="15" width="12" customWidth="1"/>
  </cols>
  <sheetData>
    <row r="2" spans="2:17" ht="19">
      <c r="B2" s="3" t="s">
        <v>0</v>
      </c>
      <c r="C2" s="4"/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>
      <c r="B3" s="5" t="s">
        <v>1</v>
      </c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>
      <c r="B4" s="4"/>
      <c r="C4" s="4"/>
      <c r="D4" s="4"/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2:17" ht="30" customHeight="1">
      <c r="B5" s="2" t="s">
        <v>2</v>
      </c>
      <c r="C5" s="2" t="s">
        <v>3</v>
      </c>
      <c r="D5" s="2" t="s">
        <v>4</v>
      </c>
      <c r="E5" s="2" t="s">
        <v>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2:17" ht="27" customHeight="1">
      <c r="B6" s="6" t="s">
        <v>6</v>
      </c>
      <c r="C6" s="10">
        <v>320</v>
      </c>
      <c r="D6" s="7">
        <f t="shared" ref="D6:D15" si="0">MIN(C6,500)*5+MAX(MIN(C6-500,500),0)*10+MAX(C6-1000,0)*15</f>
        <v>1600</v>
      </c>
      <c r="E6" s="6" t="str">
        <f t="shared" ref="E6:E15" si="1">IF(C6&gt;1000,"Свыше 1000",IF(C6&gt;500,"501–1000","До 500"))</f>
        <v>До 500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2:17" ht="27" customHeight="1">
      <c r="B7" s="6" t="s">
        <v>7</v>
      </c>
      <c r="C7" s="10">
        <v>480</v>
      </c>
      <c r="D7" s="7">
        <f t="shared" si="0"/>
        <v>2400</v>
      </c>
      <c r="E7" s="6" t="str">
        <f t="shared" si="1"/>
        <v>До 500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2:17" ht="27" customHeight="1">
      <c r="B8" s="6" t="s">
        <v>8</v>
      </c>
      <c r="C8" s="10">
        <v>500</v>
      </c>
      <c r="D8" s="7">
        <f t="shared" si="0"/>
        <v>2500</v>
      </c>
      <c r="E8" s="6" t="str">
        <f t="shared" si="1"/>
        <v>До 500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2:17" ht="27" customHeight="1">
      <c r="B9" s="6" t="s">
        <v>9</v>
      </c>
      <c r="C9" s="10">
        <v>620</v>
      </c>
      <c r="D9" s="7">
        <f t="shared" si="0"/>
        <v>3700</v>
      </c>
      <c r="E9" s="6" t="str">
        <f t="shared" si="1"/>
        <v>501–1000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2:17" ht="27" customHeight="1">
      <c r="B10" s="6" t="s">
        <v>10</v>
      </c>
      <c r="C10" s="10">
        <v>750</v>
      </c>
      <c r="D10" s="7">
        <f t="shared" si="0"/>
        <v>5000</v>
      </c>
      <c r="E10" s="6" t="str">
        <f t="shared" si="1"/>
        <v>501–1000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2:17" ht="27" customHeight="1">
      <c r="B11" s="6" t="s">
        <v>11</v>
      </c>
      <c r="C11" s="10">
        <v>900</v>
      </c>
      <c r="D11" s="7">
        <f t="shared" si="0"/>
        <v>6500</v>
      </c>
      <c r="E11" s="6" t="str">
        <f t="shared" si="1"/>
        <v>501–1000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2:17" ht="27" customHeight="1">
      <c r="B12" s="6" t="s">
        <v>12</v>
      </c>
      <c r="C12" s="10">
        <v>1000</v>
      </c>
      <c r="D12" s="7">
        <f t="shared" si="0"/>
        <v>7500</v>
      </c>
      <c r="E12" s="6" t="str">
        <f t="shared" si="1"/>
        <v>501–1000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2:17" ht="27" customHeight="1">
      <c r="B13" s="6" t="s">
        <v>13</v>
      </c>
      <c r="C13" s="10">
        <v>1100</v>
      </c>
      <c r="D13" s="7">
        <f t="shared" si="0"/>
        <v>9000</v>
      </c>
      <c r="E13" s="6" t="str">
        <f t="shared" si="1"/>
        <v>Свыше 1000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2:17" ht="27" customHeight="1">
      <c r="B14" s="6" t="s">
        <v>14</v>
      </c>
      <c r="C14" s="10">
        <v>1350</v>
      </c>
      <c r="D14" s="7">
        <f t="shared" si="0"/>
        <v>12750</v>
      </c>
      <c r="E14" s="6" t="str">
        <f t="shared" si="1"/>
        <v>Свыше 1000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2:17" ht="27" customHeight="1">
      <c r="B15" s="6" t="s">
        <v>15</v>
      </c>
      <c r="C15" s="10">
        <v>1600</v>
      </c>
      <c r="D15" s="7">
        <f t="shared" si="0"/>
        <v>16500</v>
      </c>
      <c r="E15" s="6" t="str">
        <f t="shared" si="1"/>
        <v>Свыше 1000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2:17">
      <c r="B16" s="4"/>
      <c r="C16" s="8"/>
      <c r="D16" s="8"/>
      <c r="E16" s="4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2:17" ht="23" customHeight="1">
      <c r="B17" s="11"/>
      <c r="C17" s="12"/>
      <c r="D17" s="8"/>
      <c r="E17" s="4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2:17" ht="23" customHeight="1">
      <c r="B18" s="13" t="s">
        <v>16</v>
      </c>
      <c r="C18" s="14">
        <f>COUNTIF(C6:C15,"&gt;1000")</f>
        <v>3</v>
      </c>
      <c r="D18" s="8"/>
      <c r="E18" s="4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2:17" ht="23" customHeight="1">
      <c r="B19" s="13" t="s">
        <v>17</v>
      </c>
      <c r="C19" s="14">
        <f>SUM(C6:C15)</f>
        <v>8620</v>
      </c>
      <c r="D19" s="8"/>
      <c r="E19" s="4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2:17" ht="23" customHeight="1">
      <c r="B20" s="13" t="s">
        <v>18</v>
      </c>
      <c r="C20" s="14">
        <f>SUM(D6:D15)</f>
        <v>67450</v>
      </c>
      <c r="D20" s="8"/>
      <c r="E20" s="4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2:17" ht="23" customHeight="1">
      <c r="B21" s="11"/>
      <c r="C21" s="11"/>
      <c r="D21" s="4"/>
      <c r="E21" s="4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2:17" ht="23" customHeight="1">
      <c r="B22" s="11"/>
      <c r="C22" s="11"/>
      <c r="D22" s="4"/>
      <c r="E22" s="4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2:17" ht="23" customHeight="1">
      <c r="B23" s="6" t="s">
        <v>19</v>
      </c>
      <c r="C23" s="6"/>
      <c r="D23" s="4"/>
      <c r="E23" s="4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2:17" ht="23" customHeight="1">
      <c r="B24" s="2" t="s">
        <v>20</v>
      </c>
      <c r="C24" s="2" t="s">
        <v>21</v>
      </c>
      <c r="D24" s="4"/>
      <c r="E24" s="4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2:17" ht="23" customHeight="1">
      <c r="B25" s="6" t="s">
        <v>22</v>
      </c>
      <c r="C25" s="6">
        <v>5</v>
      </c>
      <c r="D25" s="4"/>
      <c r="E25" s="4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2:17" ht="23" customHeight="1">
      <c r="B26" s="6" t="s">
        <v>23</v>
      </c>
      <c r="C26" s="6">
        <v>10</v>
      </c>
      <c r="D26" s="4"/>
      <c r="E26" s="4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2:17" ht="23" customHeight="1">
      <c r="B27" s="6" t="s">
        <v>24</v>
      </c>
      <c r="C27" s="6">
        <v>15</v>
      </c>
      <c r="D27" s="4"/>
      <c r="E27" s="4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2:17" ht="23" customHeight="1">
      <c r="B28" s="6"/>
      <c r="C28" s="6"/>
      <c r="D28" s="4"/>
      <c r="E28" s="4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2:17" ht="18">
      <c r="B29" s="15"/>
      <c r="C29" s="11"/>
      <c r="D29" s="4"/>
      <c r="E29" s="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2:17" ht="18">
      <c r="B30" s="11"/>
      <c r="C30" s="11"/>
      <c r="D30" s="4"/>
      <c r="E30" s="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</sheetData>
  <conditionalFormatting sqref="C6:C15">
    <cfRule type="dataBar" priority="1">
      <dataBar>
        <cfvo type="min"/>
        <cfvo type="max"/>
        <color rgb="FF7CA6D4"/>
      </dataBar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Вариант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 Савченко</cp:lastModifiedBy>
  <dcterms:created xsi:type="dcterms:W3CDTF">2026-10-21T05:54:41Z</dcterms:created>
  <dcterms:modified xsi:type="dcterms:W3CDTF">2026-10-21T05:54:44Z</dcterms:modified>
</cp:coreProperties>
</file>